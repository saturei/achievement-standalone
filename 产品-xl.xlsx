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9760"/>
  </bookViews>
  <sheets>
    <sheet name="产品（机构）" sheetId="1" r:id="rId1"/>
    <sheet name="Sheet1" sheetId="2" r:id="rId2"/>
  </sheets>
  <definedNames>
    <definedName name="_xlnm._FilterDatabase" localSheetId="0" hidden="1">'产品（机构）'!$A$1:$J$30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<sst xmlns="http://schemas.openxmlformats.org/spreadsheetml/2006/main" count="173" uniqueCount="53">
  <si>
    <t>年度规划任务书</t>
  </si>
  <si>
    <t>部门</t>
  </si>
  <si>
    <t>机构</t>
  </si>
  <si>
    <t>科目</t>
  </si>
  <si>
    <t>细分目标</t>
  </si>
  <si>
    <t>2026年年度目标</t>
  </si>
  <si>
    <t>2026年1季度目标</t>
  </si>
  <si>
    <t>2026年2季度目标</t>
  </si>
  <si>
    <t>2026年3季度目标</t>
  </si>
  <si>
    <t>2026年4季度目标</t>
  </si>
  <si>
    <t>1号位签字</t>
  </si>
  <si>
    <t>业务方案中心</t>
  </si>
  <si>
    <t>业务方案高风险机构</t>
  </si>
  <si>
    <t>价值</t>
  </si>
  <si>
    <t>签约收入（高）</t>
  </si>
  <si>
    <t>申志强</t>
  </si>
  <si>
    <t>确权收入（高）</t>
  </si>
  <si>
    <t>费用</t>
  </si>
  <si>
    <t>业务方案中风险机构</t>
  </si>
  <si>
    <t>签约收入（中）</t>
  </si>
  <si>
    <t>彭楫洲</t>
  </si>
  <si>
    <t>确权收入（中）</t>
  </si>
  <si>
    <t>能力中心</t>
  </si>
  <si>
    <t>服务技术底座机构</t>
  </si>
  <si>
    <t>研发成果</t>
  </si>
  <si>
    <t>赵振成</t>
  </si>
  <si>
    <t>端技术底座机构</t>
  </si>
  <si>
    <t>谈佳烽</t>
  </si>
  <si>
    <t>AI技术底座机构</t>
  </si>
  <si>
    <t>王建明</t>
  </si>
  <si>
    <t>产品验证(POC)机构</t>
  </si>
  <si>
    <t>胡少龙</t>
  </si>
  <si>
    <t>数据中心</t>
  </si>
  <si>
    <t>数据中心本级</t>
  </si>
  <si>
    <t>陈泽鑫</t>
  </si>
  <si>
    <t>技术委员会</t>
  </si>
  <si>
    <t>技术委员会本级</t>
  </si>
  <si>
    <t>钟明昌</t>
  </si>
  <si>
    <t>FM平台中心</t>
  </si>
  <si>
    <t>生产工具机构</t>
  </si>
  <si>
    <t>王泽均</t>
  </si>
  <si>
    <t>中台运营机构</t>
  </si>
  <si>
    <t>AI方案中心</t>
  </si>
  <si>
    <t>AI方案设计机构</t>
  </si>
  <si>
    <t>毛伟华</t>
  </si>
  <si>
    <t>AI场景研发机构</t>
  </si>
  <si>
    <t>合计数</t>
  </si>
  <si>
    <t>签约收入</t>
  </si>
  <si>
    <t>确权收入</t>
  </si>
  <si>
    <t>成果</t>
  </si>
  <si>
    <t>数据中心公司公共费用</t>
  </si>
  <si>
    <t>板块负责人签字</t>
  </si>
  <si>
    <t>备注：季度成果数量以每季度研发立项计划认定的为准。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</si>
</sst>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_ "/>
  </numFmts>
  <fonts count="25"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vertical="center"/>
    </xf>
    <xf numFmtId="176" fontId="1" fillId="0" borderId="1" xfId="0" applyNumberFormat="1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vertical="center"/>
    </xf>
    <xf numFmtId="177" fontId="1" fillId="0" borderId="1" xfId="0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3" fillId="0" borderId="2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vertical="center"/>
    </xf>
    <xf numFmtId="0" fontId="2" fillId="0" borderId="4" xfId="0" applyFont="1" applyFill="1" applyBorder="1" applyAlignment="1" applyProtection="1">
      <alignment vertical="center"/>
    </xf>
    <xf numFmtId="176" fontId="2" fillId="0" borderId="1" xfId="0" applyNumberFormat="1" applyFont="1" applyBorder="1" applyAlignment="1" applyProtection="1">
      <alignment vertical="center"/>
    </xf>
    <xf numFmtId="0" fontId="4" fillId="0" borderId="4" xfId="0" applyFont="1" applyBorder="1" applyAlignment="1" applyProtection="1">
      <alignment vertical="center"/>
    </xf>
    <xf numFmtId="177" fontId="2" fillId="0" borderId="1" xfId="0" applyNumberFormat="1" applyFont="1" applyBorder="1" applyAlignment="1" applyProtection="1">
      <alignment vertical="center"/>
    </xf>
    <xf numFmtId="0" fontId="2" fillId="0" borderId="1" xfId="0" applyFont="1" applyBorder="1" applyAlignment="1" applyProtection="1">
      <alignment vertical="center" wrapText="1"/>
    </xf>
    <xf numFmtId="0" fontId="4" fillId="0" borderId="1" xfId="0" applyFont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40"/>
  <sheetViews>
    <sheetView tabSelected="1" zoomScale="90" zoomScaleNormal="90" workbookViewId="0">
      <selection activeCell="E2" sqref="E2"/>
    </sheetView>
  </sheetViews>
  <sheetFormatPr defaultColWidth="9.9" defaultRowHeight="13.5" customHeight="1"/>
  <cols>
    <col min="1" max="1" width="22" style="8" customWidth="1"/>
    <col min="2" max="2" width="23.2833333333333" style="8" customWidth="1"/>
    <col min="4" max="4" width="19.6166666666667" style="8" customWidth="1"/>
    <col min="5" max="5" width="25.85" style="8" customWidth="1"/>
    <col min="6" max="9" width="17.9666666666667" style="8" customWidth="1"/>
    <col min="10" max="10" width="17.05" style="8" customWidth="1"/>
    <col min="11" max="11" width="17.7166666666667" customWidth="1"/>
  </cols>
  <sheetData>
    <row r="1" ht="70" customHeight="1" spans="1:10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ht="30" customHeight="1" spans="1:10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</row>
    <row r="3" ht="30" customHeight="1" spans="1:10">
      <c r="A3" s="12" t="s">
        <v>11</v>
      </c>
      <c r="B3" s="3" t="s">
        <v>12</v>
      </c>
      <c r="C3" s="11" t="s">
        <v>13</v>
      </c>
      <c r="D3" s="11" t="s">
        <v>14</v>
      </c>
      <c r="E3" s="13">
        <v>50000000</v>
      </c>
      <c r="F3" s="13">
        <v>5000000</v>
      </c>
      <c r="G3" s="13">
        <v>15000000</v>
      </c>
      <c r="H3" s="13">
        <v>20000000</v>
      </c>
      <c r="I3" s="13">
        <v>10000000</v>
      </c>
      <c r="J3" s="11" t="s">
        <v>15</v>
      </c>
    </row>
    <row r="4" ht="30" customHeight="1" spans="1:10">
      <c r="A4" s="12" t="s">
        <v>11</v>
      </c>
      <c r="B4" s="3" t="s">
        <v>12</v>
      </c>
      <c r="C4" s="11" t="s">
        <v>13</v>
      </c>
      <c r="D4" s="11" t="s">
        <v>16</v>
      </c>
      <c r="E4" s="13">
        <v>15000000</v>
      </c>
      <c r="F4" s="13">
        <v>0</v>
      </c>
      <c r="G4" s="13">
        <v>0</v>
      </c>
      <c r="H4" s="13">
        <v>0</v>
      </c>
      <c r="I4" s="13">
        <v>15000000</v>
      </c>
      <c r="J4" s="11" t="s">
        <v>15</v>
      </c>
    </row>
    <row r="5" ht="30" customHeight="1" spans="1:10">
      <c r="A5" s="12" t="s">
        <v>11</v>
      </c>
      <c r="B5" s="3" t="s">
        <v>12</v>
      </c>
      <c r="C5" s="11" t="s">
        <v>17</v>
      </c>
      <c r="D5" s="11" t="s">
        <v>17</v>
      </c>
      <c r="E5" s="13">
        <v>3022504.8</v>
      </c>
      <c r="F5" s="13">
        <v>1127729.8</v>
      </c>
      <c r="G5" s="13">
        <v>647759.4</v>
      </c>
      <c r="H5" s="13">
        <v>635633.6</v>
      </c>
      <c r="I5" s="13">
        <v>611382</v>
      </c>
      <c r="J5" s="11" t="s">
        <v>15</v>
      </c>
    </row>
    <row r="6" ht="30" customHeight="1" spans="1:10">
      <c r="A6" s="12" t="s">
        <v>11</v>
      </c>
      <c r="B6" s="3" t="s">
        <v>18</v>
      </c>
      <c r="C6" s="11" t="s">
        <v>13</v>
      </c>
      <c r="D6" s="11" t="s">
        <v>19</v>
      </c>
      <c r="E6" s="13">
        <v>50000000</v>
      </c>
      <c r="F6" s="13">
        <v>5000000</v>
      </c>
      <c r="G6" s="13">
        <v>15000000</v>
      </c>
      <c r="H6" s="13">
        <v>20000000</v>
      </c>
      <c r="I6" s="13">
        <v>10000000</v>
      </c>
      <c r="J6" s="11" t="s">
        <v>20</v>
      </c>
    </row>
    <row r="7" ht="30" customHeight="1" spans="1:10">
      <c r="A7" s="12" t="s">
        <v>11</v>
      </c>
      <c r="B7" s="3" t="s">
        <v>18</v>
      </c>
      <c r="C7" s="11" t="s">
        <v>13</v>
      </c>
      <c r="D7" s="11" t="s">
        <v>21</v>
      </c>
      <c r="E7" s="13">
        <v>45000000</v>
      </c>
      <c r="F7" s="13">
        <v>0</v>
      </c>
      <c r="G7" s="13">
        <v>2000000</v>
      </c>
      <c r="H7" s="13">
        <v>15000000</v>
      </c>
      <c r="I7" s="13">
        <v>28000000</v>
      </c>
      <c r="J7" s="11" t="s">
        <v>20</v>
      </c>
    </row>
    <row r="8" ht="30" customHeight="1" spans="1:10">
      <c r="A8" s="12" t="s">
        <v>11</v>
      </c>
      <c r="B8" s="3" t="s">
        <v>18</v>
      </c>
      <c r="C8" s="11" t="s">
        <v>17</v>
      </c>
      <c r="D8" s="11" t="s">
        <v>17</v>
      </c>
      <c r="E8" s="13">
        <v>855000</v>
      </c>
      <c r="F8" s="13">
        <v>182118.8</v>
      </c>
      <c r="G8" s="13">
        <v>322889.8</v>
      </c>
      <c r="H8" s="13">
        <v>206989.8</v>
      </c>
      <c r="I8" s="13">
        <v>143001.6</v>
      </c>
      <c r="J8" s="11" t="s">
        <v>20</v>
      </c>
    </row>
    <row r="9" ht="30" customHeight="1" spans="1:10">
      <c r="A9" s="14" t="s">
        <v>22</v>
      </c>
      <c r="B9" s="11" t="s">
        <v>23</v>
      </c>
      <c r="C9" s="11" t="s">
        <v>13</v>
      </c>
      <c r="D9" s="11" t="s">
        <v>24</v>
      </c>
      <c r="E9" s="15">
        <v>22</v>
      </c>
      <c r="F9" s="15">
        <v>7</v>
      </c>
      <c r="G9" s="15">
        <v>15</v>
      </c>
      <c r="H9" s="15">
        <v>0</v>
      </c>
      <c r="I9" s="15">
        <v>0</v>
      </c>
      <c r="J9" s="11" t="s">
        <v>25</v>
      </c>
    </row>
    <row r="10" ht="30" customHeight="1" spans="1:10">
      <c r="A10" s="14" t="s">
        <v>22</v>
      </c>
      <c r="B10" s="11" t="s">
        <v>23</v>
      </c>
      <c r="C10" s="11" t="s">
        <v>17</v>
      </c>
      <c r="D10" s="11" t="s">
        <v>17</v>
      </c>
      <c r="E10" s="13">
        <v>950000</v>
      </c>
      <c r="F10" s="13">
        <v>317300</v>
      </c>
      <c r="G10" s="13">
        <v>210900</v>
      </c>
      <c r="H10" s="13">
        <v>210900</v>
      </c>
      <c r="I10" s="13">
        <v>210900</v>
      </c>
      <c r="J10" s="11" t="s">
        <v>25</v>
      </c>
    </row>
    <row r="11" ht="30" customHeight="1" spans="1:10">
      <c r="A11" s="14" t="s">
        <v>22</v>
      </c>
      <c r="B11" s="11" t="s">
        <v>26</v>
      </c>
      <c r="C11" s="11" t="s">
        <v>13</v>
      </c>
      <c r="D11" s="11" t="s">
        <v>24</v>
      </c>
      <c r="E11" s="15">
        <v>19</v>
      </c>
      <c r="F11" s="15">
        <v>13</v>
      </c>
      <c r="G11" s="15">
        <v>6</v>
      </c>
      <c r="H11" s="15">
        <v>0</v>
      </c>
      <c r="I11" s="15">
        <v>0</v>
      </c>
      <c r="J11" s="11" t="s">
        <v>27</v>
      </c>
    </row>
    <row r="12" ht="30" customHeight="1" spans="1:10">
      <c r="A12" s="14" t="s">
        <v>22</v>
      </c>
      <c r="B12" s="11" t="s">
        <v>26</v>
      </c>
      <c r="C12" s="11" t="s">
        <v>17</v>
      </c>
      <c r="D12" s="11" t="s">
        <v>17</v>
      </c>
      <c r="E12" s="13">
        <v>855000</v>
      </c>
      <c r="F12" s="13">
        <v>332500</v>
      </c>
      <c r="G12" s="13">
        <v>237500</v>
      </c>
      <c r="H12" s="13">
        <v>142500</v>
      </c>
      <c r="I12" s="13">
        <v>142500</v>
      </c>
      <c r="J12" s="11" t="s">
        <v>27</v>
      </c>
    </row>
    <row r="13" ht="30" customHeight="1" spans="1:10">
      <c r="A13" s="14" t="s">
        <v>22</v>
      </c>
      <c r="B13" s="11" t="s">
        <v>28</v>
      </c>
      <c r="C13" s="11" t="s">
        <v>13</v>
      </c>
      <c r="D13" s="11" t="s">
        <v>24</v>
      </c>
      <c r="E13" s="15">
        <v>9</v>
      </c>
      <c r="F13" s="15">
        <v>5</v>
      </c>
      <c r="G13" s="15">
        <v>4</v>
      </c>
      <c r="H13" s="15">
        <v>0</v>
      </c>
      <c r="I13" s="15">
        <v>0</v>
      </c>
      <c r="J13" s="11" t="s">
        <v>29</v>
      </c>
    </row>
    <row r="14" ht="30" customHeight="1" spans="1:10">
      <c r="A14" s="14" t="s">
        <v>22</v>
      </c>
      <c r="B14" s="11" t="s">
        <v>28</v>
      </c>
      <c r="C14" s="11" t="s">
        <v>17</v>
      </c>
      <c r="D14" s="11" t="s">
        <v>17</v>
      </c>
      <c r="E14" s="13">
        <v>1687675</v>
      </c>
      <c r="F14" s="13">
        <v>439375</v>
      </c>
      <c r="G14" s="13">
        <v>416100</v>
      </c>
      <c r="H14" s="13">
        <v>416100</v>
      </c>
      <c r="I14" s="13">
        <v>416100</v>
      </c>
      <c r="J14" s="11" t="s">
        <v>29</v>
      </c>
    </row>
    <row r="15" ht="30" customHeight="1" spans="1:10">
      <c r="A15" s="14" t="s">
        <v>22</v>
      </c>
      <c r="B15" s="11" t="s">
        <v>30</v>
      </c>
      <c r="C15" s="11" t="s">
        <v>13</v>
      </c>
      <c r="D15" s="11" t="s">
        <v>24</v>
      </c>
      <c r="E15" s="15">
        <v>7</v>
      </c>
      <c r="F15" s="15">
        <v>4</v>
      </c>
      <c r="G15" s="15">
        <v>3</v>
      </c>
      <c r="H15" s="15">
        <v>0</v>
      </c>
      <c r="I15" s="15">
        <v>0</v>
      </c>
      <c r="J15" s="11" t="s">
        <v>31</v>
      </c>
    </row>
    <row r="16" ht="30" customHeight="1" spans="1:10">
      <c r="A16" s="14" t="s">
        <v>22</v>
      </c>
      <c r="B16" s="11" t="s">
        <v>30</v>
      </c>
      <c r="C16" s="11" t="s">
        <v>17</v>
      </c>
      <c r="D16" s="11" t="s">
        <v>17</v>
      </c>
      <c r="E16" s="13">
        <v>317775</v>
      </c>
      <c r="F16" s="13">
        <v>71725</v>
      </c>
      <c r="G16" s="13">
        <v>105450</v>
      </c>
      <c r="H16" s="13">
        <v>105450</v>
      </c>
      <c r="I16" s="13">
        <v>35150</v>
      </c>
      <c r="J16" s="11" t="s">
        <v>31</v>
      </c>
    </row>
    <row r="17" ht="30" customHeight="1" spans="1:10">
      <c r="A17" s="11" t="s">
        <v>32</v>
      </c>
      <c r="B17" s="11" t="s">
        <v>33</v>
      </c>
      <c r="C17" s="11" t="s">
        <v>13</v>
      </c>
      <c r="D17" s="11" t="s">
        <v>24</v>
      </c>
      <c r="E17" s="15">
        <v>52</v>
      </c>
      <c r="F17" s="15">
        <v>25</v>
      </c>
      <c r="G17" s="15">
        <v>24</v>
      </c>
      <c r="H17" s="15">
        <v>3</v>
      </c>
      <c r="I17" s="15">
        <v>0</v>
      </c>
      <c r="J17" s="11" t="s">
        <v>34</v>
      </c>
    </row>
    <row r="18" ht="30" customHeight="1" spans="1:10">
      <c r="A18" s="11" t="s">
        <v>32</v>
      </c>
      <c r="B18" s="11" t="s">
        <v>33</v>
      </c>
      <c r="C18" s="11" t="s">
        <v>17</v>
      </c>
      <c r="D18" s="11" t="s">
        <v>17</v>
      </c>
      <c r="E18" s="13">
        <v>2554091.87</v>
      </c>
      <c r="F18" s="13">
        <v>664854.12</v>
      </c>
      <c r="G18" s="13">
        <v>629745.92</v>
      </c>
      <c r="H18" s="13">
        <v>629745.92</v>
      </c>
      <c r="I18" s="13">
        <v>629745.92</v>
      </c>
      <c r="J18" s="11" t="s">
        <v>34</v>
      </c>
    </row>
    <row r="19" ht="30" customHeight="1" spans="1:10">
      <c r="A19" s="11" t="s">
        <v>35</v>
      </c>
      <c r="B19" s="11" t="s">
        <v>36</v>
      </c>
      <c r="C19" s="13" t="s">
        <v>17</v>
      </c>
      <c r="D19" s="13" t="s">
        <v>17</v>
      </c>
      <c r="E19" s="13">
        <v>1528140</v>
      </c>
      <c r="F19" s="13">
        <v>398100</v>
      </c>
      <c r="G19" s="13">
        <v>376680</v>
      </c>
      <c r="H19" s="13">
        <v>376680</v>
      </c>
      <c r="I19" s="13">
        <v>376680</v>
      </c>
      <c r="J19" s="11" t="s">
        <v>37</v>
      </c>
    </row>
    <row r="20" ht="30" customHeight="1" spans="1:10">
      <c r="A20" s="16" t="s">
        <v>38</v>
      </c>
      <c r="B20" s="11" t="s">
        <v>39</v>
      </c>
      <c r="C20" s="11" t="s">
        <v>13</v>
      </c>
      <c r="D20" s="11" t="s">
        <v>24</v>
      </c>
      <c r="E20" s="15">
        <v>7</v>
      </c>
      <c r="F20" s="15">
        <v>4</v>
      </c>
      <c r="G20" s="15">
        <v>1</v>
      </c>
      <c r="H20" s="15">
        <v>2</v>
      </c>
      <c r="I20" s="15">
        <v>0</v>
      </c>
      <c r="J20" s="11" t="s">
        <v>40</v>
      </c>
    </row>
    <row r="21" ht="30" customHeight="1" spans="1:10">
      <c r="A21" s="16" t="s">
        <v>38</v>
      </c>
      <c r="B21" s="11" t="s">
        <v>39</v>
      </c>
      <c r="C21" s="13" t="s">
        <v>17</v>
      </c>
      <c r="D21" s="13" t="s">
        <v>17</v>
      </c>
      <c r="E21" s="13">
        <v>2023500</v>
      </c>
      <c r="F21" s="13">
        <v>775200</v>
      </c>
      <c r="G21" s="13">
        <v>432250</v>
      </c>
      <c r="H21" s="13">
        <v>411350</v>
      </c>
      <c r="I21" s="13">
        <v>404700</v>
      </c>
      <c r="J21" s="11" t="s">
        <v>40</v>
      </c>
    </row>
    <row r="22" ht="30" customHeight="1" spans="1:10">
      <c r="A22" s="16" t="s">
        <v>38</v>
      </c>
      <c r="B22" s="11" t="s">
        <v>41</v>
      </c>
      <c r="C22" s="11" t="s">
        <v>13</v>
      </c>
      <c r="D22" s="11" t="s">
        <v>24</v>
      </c>
      <c r="E22" s="15">
        <v>6</v>
      </c>
      <c r="F22" s="15">
        <v>6</v>
      </c>
      <c r="G22" s="15">
        <v>0</v>
      </c>
      <c r="H22" s="15">
        <v>0</v>
      </c>
      <c r="I22" s="15">
        <v>0</v>
      </c>
      <c r="J22" s="11" t="s">
        <v>40</v>
      </c>
    </row>
    <row r="23" ht="30" customHeight="1" spans="1:10">
      <c r="A23" s="16" t="s">
        <v>38</v>
      </c>
      <c r="B23" s="11" t="s">
        <v>41</v>
      </c>
      <c r="C23" s="13" t="s">
        <v>17</v>
      </c>
      <c r="D23" s="13" t="s">
        <v>17</v>
      </c>
      <c r="E23" s="13">
        <v>354350</v>
      </c>
      <c r="F23" s="13">
        <v>240350</v>
      </c>
      <c r="G23" s="13">
        <v>85500</v>
      </c>
      <c r="H23" s="13">
        <v>28500</v>
      </c>
      <c r="I23" s="13">
        <v>0</v>
      </c>
      <c r="J23" s="11" t="s">
        <v>40</v>
      </c>
    </row>
    <row r="24" ht="30" customHeight="1" spans="1:10">
      <c r="A24" s="17" t="s">
        <v>42</v>
      </c>
      <c r="B24" s="11" t="s">
        <v>43</v>
      </c>
      <c r="C24" s="11" t="s">
        <v>13</v>
      </c>
      <c r="D24" s="13" t="s">
        <v>14</v>
      </c>
      <c r="E24" s="13">
        <v>20550000</v>
      </c>
      <c r="F24" s="13">
        <v>0</v>
      </c>
      <c r="G24" s="13">
        <v>1200000</v>
      </c>
      <c r="H24" s="13">
        <v>3990000</v>
      </c>
      <c r="I24" s="13">
        <v>15360000</v>
      </c>
      <c r="J24" s="13" t="s">
        <v>44</v>
      </c>
    </row>
    <row r="25" ht="38" customHeight="1" spans="1:10">
      <c r="A25" s="17" t="s">
        <v>42</v>
      </c>
      <c r="B25" s="11" t="s">
        <v>43</v>
      </c>
      <c r="C25" s="11" t="s">
        <v>13</v>
      </c>
      <c r="D25" s="13" t="s">
        <v>19</v>
      </c>
      <c r="E25" s="13">
        <v>9450000</v>
      </c>
      <c r="F25" s="13">
        <v>1450000</v>
      </c>
      <c r="G25" s="13">
        <v>3000000</v>
      </c>
      <c r="H25" s="13">
        <v>3000000</v>
      </c>
      <c r="I25" s="13">
        <v>2000000</v>
      </c>
      <c r="J25" s="13" t="s">
        <v>44</v>
      </c>
    </row>
    <row r="26" ht="30" customHeight="1" spans="1:10">
      <c r="A26" s="17" t="s">
        <v>42</v>
      </c>
      <c r="B26" s="11" t="s">
        <v>43</v>
      </c>
      <c r="C26" s="11" t="s">
        <v>13</v>
      </c>
      <c r="D26" s="13" t="s">
        <v>16</v>
      </c>
      <c r="E26" s="13">
        <v>5190000</v>
      </c>
      <c r="F26" s="13">
        <v>0</v>
      </c>
      <c r="G26" s="13">
        <v>0</v>
      </c>
      <c r="H26" s="13">
        <v>0</v>
      </c>
      <c r="I26" s="13">
        <v>5190000</v>
      </c>
      <c r="J26" s="13" t="s">
        <v>44</v>
      </c>
    </row>
    <row r="27" ht="30" customHeight="1" spans="1:10">
      <c r="A27" s="17" t="s">
        <v>42</v>
      </c>
      <c r="B27" s="11" t="s">
        <v>43</v>
      </c>
      <c r="C27" s="11" t="s">
        <v>13</v>
      </c>
      <c r="D27" s="13" t="s">
        <v>21</v>
      </c>
      <c r="E27" s="13">
        <v>7200000</v>
      </c>
      <c r="F27" s="13">
        <v>0</v>
      </c>
      <c r="G27" s="13">
        <v>0</v>
      </c>
      <c r="H27" s="13">
        <v>0</v>
      </c>
      <c r="I27" s="13">
        <v>7200000</v>
      </c>
      <c r="J27" s="13" t="s">
        <v>44</v>
      </c>
    </row>
    <row r="28" ht="30" customHeight="1" spans="1:10">
      <c r="A28" s="17" t="s">
        <v>42</v>
      </c>
      <c r="B28" s="11" t="s">
        <v>43</v>
      </c>
      <c r="C28" s="13" t="s">
        <v>17</v>
      </c>
      <c r="D28" s="13" t="s">
        <v>17</v>
      </c>
      <c r="E28" s="13">
        <v>1263940.8</v>
      </c>
      <c r="F28" s="13">
        <v>333375.9</v>
      </c>
      <c r="G28" s="13">
        <v>333375.9</v>
      </c>
      <c r="H28" s="13">
        <v>298594.5</v>
      </c>
      <c r="I28" s="13">
        <v>298594.5</v>
      </c>
      <c r="J28" s="13" t="s">
        <v>44</v>
      </c>
    </row>
    <row r="29" ht="30" customHeight="1" spans="1:10">
      <c r="A29" s="17" t="s">
        <v>42</v>
      </c>
      <c r="B29" s="11" t="s">
        <v>45</v>
      </c>
      <c r="C29" s="11" t="s">
        <v>13</v>
      </c>
      <c r="D29" s="11" t="s">
        <v>24</v>
      </c>
      <c r="E29" s="15">
        <v>35</v>
      </c>
      <c r="F29" s="15">
        <v>20</v>
      </c>
      <c r="G29" s="15">
        <v>15</v>
      </c>
      <c r="H29" s="15">
        <v>0</v>
      </c>
      <c r="I29" s="15">
        <v>0</v>
      </c>
      <c r="J29" s="11" t="s">
        <v>44</v>
      </c>
    </row>
    <row r="30" ht="30" customHeight="1" spans="1:10">
      <c r="A30" s="17" t="s">
        <v>42</v>
      </c>
      <c r="B30" s="11" t="s">
        <v>45</v>
      </c>
      <c r="C30" s="13" t="s">
        <v>17</v>
      </c>
      <c r="D30" s="13" t="s">
        <v>17</v>
      </c>
      <c r="E30" s="13">
        <v>907440</v>
      </c>
      <c r="F30" s="13">
        <v>285988.38</v>
      </c>
      <c r="G30" s="13">
        <v>207150.54</v>
      </c>
      <c r="H30" s="13">
        <v>207150.54</v>
      </c>
      <c r="I30" s="13">
        <v>207150.54</v>
      </c>
      <c r="J30" s="11" t="s">
        <v>44</v>
      </c>
    </row>
    <row r="31" ht="30" customHeight="1" spans="1:10">
      <c r="A31"/>
      <c r="B31"/>
      <c r="D31"/>
      <c r="E31"/>
      <c r="F31"/>
      <c r="G31"/>
      <c r="H31"/>
      <c r="I31"/>
      <c r="J31"/>
    </row>
    <row r="32" ht="30" customHeight="1" spans="1:10">
      <c r="A32"/>
      <c r="B32"/>
      <c r="D32"/>
      <c r="E32"/>
      <c r="F32"/>
      <c r="G32"/>
      <c r="H32"/>
      <c r="I32"/>
      <c r="J32"/>
    </row>
    <row r="33" ht="30" customHeight="1" spans="1:10">
      <c r="A33"/>
      <c r="B33"/>
      <c r="D33"/>
      <c r="E33"/>
      <c r="F33"/>
      <c r="G33"/>
      <c r="H33"/>
      <c r="I33"/>
      <c r="J33"/>
    </row>
    <row r="34" ht="30" customHeight="1" spans="1:10">
      <c r="A34"/>
      <c r="B34"/>
      <c r="D34"/>
      <c r="E34"/>
      <c r="F34"/>
      <c r="G34"/>
      <c r="H34"/>
      <c r="I34"/>
      <c r="J34"/>
    </row>
    <row r="35" ht="30" customHeight="1" spans="1:10">
      <c r="A35"/>
      <c r="B35"/>
      <c r="D35"/>
      <c r="E35"/>
      <c r="F35"/>
      <c r="G35"/>
      <c r="H35"/>
      <c r="I35"/>
      <c r="J35"/>
    </row>
    <row r="36" ht="30" customHeight="1" spans="1:10">
      <c r="A36"/>
      <c r="B36"/>
      <c r="D36"/>
      <c r="E36"/>
      <c r="F36"/>
      <c r="G36"/>
      <c r="H36"/>
      <c r="I36"/>
      <c r="J36"/>
    </row>
    <row r="37" ht="30" customHeight="1" spans="1:10">
      <c r="A37"/>
      <c r="B37"/>
      <c r="D37"/>
      <c r="E37"/>
      <c r="F37"/>
      <c r="G37"/>
      <c r="H37"/>
      <c r="I37"/>
      <c r="J37"/>
    </row>
    <row r="38" ht="30" customHeight="1" spans="1:10">
      <c r="A38"/>
      <c r="B38"/>
      <c r="D38"/>
      <c r="E38"/>
      <c r="F38"/>
      <c r="G38"/>
      <c r="H38"/>
      <c r="I38"/>
      <c r="J38"/>
    </row>
    <row r="39" customHeight="1" spans="1:10">
      <c r="A39"/>
      <c r="B39"/>
      <c r="D39"/>
      <c r="E39"/>
      <c r="F39"/>
      <c r="G39"/>
      <c r="H39"/>
      <c r="I39"/>
      <c r="J39"/>
    </row>
    <row r="40" ht="14.25" customHeight="1" spans="1:10">
      <c r="A40"/>
      <c r="B40"/>
      <c r="D40"/>
      <c r="E40"/>
      <c r="F40"/>
      <c r="G40"/>
      <c r="H40"/>
      <c r="I40"/>
      <c r="J40"/>
    </row>
  </sheetData>
  <mergeCells count="1">
    <mergeCell ref="A1:J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selection activeCell="A1" sqref="A1:K10"/>
    </sheetView>
  </sheetViews>
  <sheetFormatPr defaultColWidth="9.06666666666667" defaultRowHeight="17.6"/>
  <sheetData>
    <row r="1" spans="1:11">
      <c r="A1" s="1" t="s">
        <v>46</v>
      </c>
      <c r="B1" s="1"/>
      <c r="C1" s="2" t="s">
        <v>13</v>
      </c>
      <c r="D1" s="2" t="s">
        <v>47</v>
      </c>
      <c r="E1" s="2" t="s">
        <v>14</v>
      </c>
      <c r="F1" s="2">
        <f>'产品（机构）'!E3+'产品（机构）'!E24</f>
        <v>70550000</v>
      </c>
      <c r="G1" s="2">
        <f>'产品（机构）'!F3+'产品（机构）'!F24</f>
        <v>5000000</v>
      </c>
      <c r="H1" s="2">
        <f>'产品（机构）'!G3+'产品（机构）'!G24</f>
        <v>16200000</v>
      </c>
      <c r="I1" s="2">
        <f>'产品（机构）'!H3+'产品（机构）'!H24</f>
        <v>23990000</v>
      </c>
      <c r="J1" s="2">
        <f>'产品（机构）'!I3+'产品（机构）'!I24</f>
        <v>25360000</v>
      </c>
      <c r="K1" s="3" t="s">
        <v>29</v>
      </c>
    </row>
    <row r="2" spans="1:11">
      <c r="A2" s="1"/>
      <c r="B2" s="1"/>
      <c r="C2" s="2"/>
      <c r="D2" s="2"/>
      <c r="E2" s="2" t="s">
        <v>19</v>
      </c>
      <c r="F2" s="2">
        <f>'产品（机构）'!E6+'产品（机构）'!E25</f>
        <v>59450000</v>
      </c>
      <c r="G2" s="2">
        <f>'产品（机构）'!F6+'产品（机构）'!F25</f>
        <v>6450000</v>
      </c>
      <c r="H2" s="2">
        <f>'产品（机构）'!G6+'产品（机构）'!G25</f>
        <v>18000000</v>
      </c>
      <c r="I2" s="2">
        <f>'产品（机构）'!H6+'产品（机构）'!H25</f>
        <v>23000000</v>
      </c>
      <c r="J2" s="2">
        <f>'产品（机构）'!I6+'产品（机构）'!I25</f>
        <v>12000000</v>
      </c>
      <c r="K2" s="3"/>
    </row>
    <row r="3" spans="1:11">
      <c r="A3" s="1"/>
      <c r="B3" s="1"/>
      <c r="C3" s="2"/>
      <c r="D3" s="2" t="s">
        <v>48</v>
      </c>
      <c r="E3" s="2" t="s">
        <v>16</v>
      </c>
      <c r="F3" s="2">
        <f>'产品（机构）'!E4+'产品（机构）'!E26</f>
        <v>20190000</v>
      </c>
      <c r="G3" s="2">
        <f>'产品（机构）'!F4+'产品（机构）'!F26</f>
        <v>0</v>
      </c>
      <c r="H3" s="2">
        <f>'产品（机构）'!G4+'产品（机构）'!G26</f>
        <v>0</v>
      </c>
      <c r="I3" s="2">
        <f>'产品（机构）'!H4+'产品（机构）'!H26</f>
        <v>0</v>
      </c>
      <c r="J3" s="2">
        <f>'产品（机构）'!I4+'产品（机构）'!I26</f>
        <v>20190000</v>
      </c>
      <c r="K3" s="3"/>
    </row>
    <row r="4" spans="1:11">
      <c r="A4" s="1"/>
      <c r="B4" s="1"/>
      <c r="C4" s="2"/>
      <c r="D4" s="2"/>
      <c r="E4" s="2" t="s">
        <v>21</v>
      </c>
      <c r="F4" s="2">
        <f>'产品（机构）'!E7+'产品（机构）'!E27</f>
        <v>52200000</v>
      </c>
      <c r="G4" s="2">
        <f>'产品（机构）'!F7+'产品（机构）'!F27</f>
        <v>0</v>
      </c>
      <c r="H4" s="2">
        <f>'产品（机构）'!G7+'产品（机构）'!G27</f>
        <v>2000000</v>
      </c>
      <c r="I4" s="2">
        <f>'产品（机构）'!H7+'产品（机构）'!H27</f>
        <v>15000000</v>
      </c>
      <c r="J4" s="2">
        <f>'产品（机构）'!I7+'产品（机构）'!I27</f>
        <v>35200000</v>
      </c>
      <c r="K4" s="3"/>
    </row>
    <row r="5" spans="1:11">
      <c r="A5" s="1"/>
      <c r="B5" s="1"/>
      <c r="C5" s="2"/>
      <c r="D5" s="2" t="s">
        <v>49</v>
      </c>
      <c r="E5" s="2" t="s">
        <v>24</v>
      </c>
      <c r="F5" s="4">
        <f>'产品（机构）'!E9+'产品（机构）'!E11+'产品（机构）'!E13+'产品（机构）'!E15+'产品（机构）'!E17+'产品（机构）'!E20+'产品（机构）'!E22+'产品（机构）'!E29</f>
        <v>157</v>
      </c>
      <c r="G5" s="4">
        <f>'产品（机构）'!F9+'产品（机构）'!F11+'产品（机构）'!F13+'产品（机构）'!F15+'产品（机构）'!F17+'产品（机构）'!F20+'产品（机构）'!F22+'产品（机构）'!F29</f>
        <v>84</v>
      </c>
      <c r="H5" s="4">
        <f>'产品（机构）'!G9+'产品（机构）'!G11+'产品（机构）'!G13+'产品（机构）'!G15+'产品（机构）'!G17+'产品（机构）'!G20+'产品（机构）'!G22+'产品（机构）'!G29</f>
        <v>68</v>
      </c>
      <c r="I5" s="4">
        <f>'产品（机构）'!H9+'产品（机构）'!H11+'产品（机构）'!H13+'产品（机构）'!H15+'产品（机构）'!H17+'产品（机构）'!H20+'产品（机构）'!H22+'产品（机构）'!H29</f>
        <v>5</v>
      </c>
      <c r="J5" s="4">
        <f>'产品（机构）'!I9+'产品（机构）'!I11+'产品（机构）'!I13+'产品（机构）'!I15+'产品（机构）'!I17+'产品（机构）'!I20+'产品（机构）'!I22+'产品（机构）'!I29</f>
        <v>0</v>
      </c>
      <c r="K5" s="3"/>
    </row>
    <row r="6" spans="1:11">
      <c r="A6" s="1"/>
      <c r="B6" s="1"/>
      <c r="C6" s="2" t="s">
        <v>17</v>
      </c>
      <c r="D6" s="2" t="s">
        <v>17</v>
      </c>
      <c r="E6" s="2" t="s">
        <v>17</v>
      </c>
      <c r="F6" s="2">
        <f>'产品（机构）'!E5+'产品（机构）'!E8+'产品（机构）'!E10+'产品（机构）'!E12+'产品（机构）'!E14+'产品（机构）'!E16+'产品（机构）'!E18+'产品（机构）'!E19+'产品（机构）'!E21+'产品（机构）'!E23+'产品（机构）'!E28+'产品（机构）'!E30</f>
        <v>16319417.47</v>
      </c>
      <c r="G6" s="2">
        <f>'产品（机构）'!F5+'产品（机构）'!F8+'产品（机构）'!F10+'产品（机构）'!F12+'产品（机构）'!F14+'产品（机构）'!F16+'产品（机构）'!F18+'产品（机构）'!F19+'产品（机构）'!F21+'产品（机构）'!F23+'产品（机构）'!F28+'产品（机构）'!F30</f>
        <v>5168617</v>
      </c>
      <c r="H6" s="2">
        <f>'产品（机构）'!G5+'产品（机构）'!G8+'产品（机构）'!G10+'产品（机构）'!G12+'产品（机构）'!G14+'产品（机构）'!G16+'产品（机构）'!G18+'产品（机构）'!G19+'产品（机构）'!G21+'产品（机构）'!G23+'产品（机构）'!G28+'产品（机构）'!G30</f>
        <v>4005301.56</v>
      </c>
      <c r="I6" s="2">
        <f>'产品（机构）'!H5+'产品（机构）'!H8+'产品（机构）'!H10+'产品（机构）'!H12+'产品（机构）'!H14+'产品（机构）'!H16+'产品（机构）'!H18+'产品（机构）'!H19+'产品（机构）'!H21+'产品（机构）'!H23+'产品（机构）'!H28+'产品（机构）'!H30</f>
        <v>3669594.36</v>
      </c>
      <c r="J6" s="2">
        <f>'产品（机构）'!I5+'产品（机构）'!I8+'产品（机构）'!I10+'产品（机构）'!I12+'产品（机构）'!I14+'产品（机构）'!I16+'产品（机构）'!I18+'产品（机构）'!I19+'产品（机构）'!I21+'产品（机构）'!I23+'产品（机构）'!I28+'产品（机构）'!I30</f>
        <v>3475904.56</v>
      </c>
      <c r="K6" s="3"/>
    </row>
    <row r="7" spans="1:11">
      <c r="A7" s="3" t="s">
        <v>50</v>
      </c>
      <c r="B7" s="3"/>
      <c r="C7" s="2" t="s">
        <v>17</v>
      </c>
      <c r="D7" s="2" t="s">
        <v>17</v>
      </c>
      <c r="E7" s="2" t="s">
        <v>17</v>
      </c>
      <c r="F7" s="2">
        <v>220529.3</v>
      </c>
      <c r="G7" s="2">
        <v>166409.05</v>
      </c>
      <c r="H7" s="2">
        <v>29325.23</v>
      </c>
      <c r="I7" s="2">
        <v>20139.99</v>
      </c>
      <c r="J7" s="2">
        <v>4655.03</v>
      </c>
      <c r="K7" s="3" t="s">
        <v>34</v>
      </c>
    </row>
    <row r="8" spans="1:11">
      <c r="A8" s="3"/>
      <c r="B8" s="3" t="s">
        <v>51</v>
      </c>
      <c r="C8" s="3"/>
      <c r="D8" s="3"/>
      <c r="E8" s="3"/>
      <c r="F8" s="3"/>
      <c r="G8" s="3"/>
      <c r="H8" s="3"/>
      <c r="I8" s="3"/>
      <c r="J8" s="3"/>
      <c r="K8" s="3" t="s">
        <v>29</v>
      </c>
    </row>
    <row r="9" spans="1:11">
      <c r="A9" s="5"/>
      <c r="B9" s="5"/>
      <c r="C9" s="6"/>
      <c r="D9" s="7"/>
      <c r="E9" s="5"/>
      <c r="F9" s="5"/>
      <c r="G9" s="5"/>
      <c r="H9" s="5"/>
      <c r="I9" s="5"/>
      <c r="J9" s="5"/>
      <c r="K9" s="5"/>
    </row>
    <row r="10" spans="1:11">
      <c r="A10" s="5" t="s">
        <v>52</v>
      </c>
      <c r="B10" s="5"/>
      <c r="C10" s="6"/>
      <c r="D10" s="7"/>
      <c r="E10" s="5"/>
      <c r="F10" s="5"/>
      <c r="G10" s="5"/>
      <c r="H10" s="5"/>
      <c r="I10" s="5"/>
      <c r="J10" s="5"/>
      <c r="K1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产品（机构）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</dc:creator>
  <cp:lastModifiedBy>古</cp:lastModifiedBy>
  <dcterms:created xsi:type="dcterms:W3CDTF">2026-04-23T17:00:00Z</dcterms:created>
  <dcterms:modified xsi:type="dcterms:W3CDTF">2026-04-28T10:18:51Z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955700D81C914F5AB78C4236E2FD9ED6_11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